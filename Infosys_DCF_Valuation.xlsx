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a Simran\OneDrive\Documents\Finance_Projects_Portfolio\"/>
    </mc:Choice>
  </mc:AlternateContent>
  <xr:revisionPtr revIDLastSave="0" documentId="8_{A6ACD05A-627E-4FD6-9900-FE7F6657132F}" xr6:coauthVersionLast="47" xr6:coauthVersionMax="47" xr10:uidLastSave="{00000000-0000-0000-0000-000000000000}"/>
  <bookViews>
    <workbookView xWindow="-108" yWindow="-108" windowWidth="23256" windowHeight="12456" activeTab="1" xr2:uid="{897E9911-0DD6-46BE-8EB1-AE1EB1EF88B4}"/>
  </bookViews>
  <sheets>
    <sheet name="Historical Financials" sheetId="1" r:id="rId1"/>
    <sheet name="Projections" sheetId="3" r:id="rId2"/>
    <sheet name="FCFF Calculation" sheetId="2" r:id="rId3"/>
    <sheet name="WACC" sheetId="4" r:id="rId4"/>
    <sheet name="Terminal Value" sheetId="5" r:id="rId5"/>
    <sheet name="DCF Valuation" sheetId="6" r:id="rId6"/>
    <sheet name="Sensitivity Analysi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7" l="1"/>
  <c r="F4" i="7"/>
  <c r="F5" i="7"/>
  <c r="F6" i="7"/>
  <c r="E3" i="7"/>
  <c r="E4" i="7"/>
  <c r="E5" i="7"/>
  <c r="E6" i="7"/>
  <c r="D3" i="7"/>
  <c r="D4" i="7"/>
  <c r="D5" i="7"/>
  <c r="D6" i="7"/>
  <c r="C3" i="7"/>
  <c r="C4" i="7"/>
  <c r="C5" i="7"/>
  <c r="C6" i="7"/>
  <c r="C2" i="7"/>
  <c r="D2" i="7"/>
  <c r="E2" i="7"/>
  <c r="F2" i="7"/>
  <c r="B3" i="7"/>
  <c r="B4" i="7"/>
  <c r="B5" i="7"/>
  <c r="B6" i="7"/>
  <c r="B2" i="7"/>
  <c r="B18" i="6"/>
  <c r="B17" i="6"/>
  <c r="B13" i="6"/>
  <c r="D8" i="6"/>
  <c r="D2" i="6"/>
  <c r="D3" i="6"/>
  <c r="D4" i="6"/>
  <c r="D5" i="6"/>
  <c r="D6" i="6"/>
  <c r="D7" i="6"/>
  <c r="C7" i="6"/>
  <c r="C6" i="6"/>
  <c r="C5" i="6"/>
  <c r="C4" i="6"/>
  <c r="C2" i="6"/>
  <c r="C3" i="6"/>
  <c r="B7" i="5"/>
  <c r="B6" i="5"/>
  <c r="B4" i="5"/>
  <c r="B16" i="4"/>
  <c r="B15" i="4"/>
  <c r="B17" i="4"/>
  <c r="B14" i="4"/>
  <c r="C11" i="3"/>
  <c r="D11" i="3"/>
  <c r="E11" i="3"/>
  <c r="F11" i="3"/>
  <c r="B11" i="3"/>
  <c r="C10" i="3"/>
  <c r="D10" i="3"/>
  <c r="E10" i="3"/>
  <c r="F10" i="3"/>
  <c r="B10" i="3"/>
  <c r="C9" i="3"/>
  <c r="D9" i="3"/>
  <c r="E9" i="3"/>
  <c r="F9" i="3"/>
  <c r="B9" i="3"/>
  <c r="C8" i="3"/>
  <c r="D8" i="3"/>
  <c r="E8" i="3"/>
  <c r="F8" i="3"/>
  <c r="B8" i="3"/>
  <c r="C7" i="3"/>
  <c r="D7" i="3"/>
  <c r="E7" i="3"/>
  <c r="F7" i="3"/>
  <c r="B7" i="3"/>
  <c r="C5" i="3"/>
  <c r="D5" i="3"/>
  <c r="E5" i="3"/>
  <c r="F5" i="3"/>
  <c r="B5" i="3"/>
  <c r="C8" i="2"/>
  <c r="D8" i="2"/>
  <c r="E8" i="2"/>
  <c r="F8" i="2"/>
  <c r="B8" i="2"/>
  <c r="C4" i="2"/>
  <c r="D4" i="2"/>
  <c r="E4" i="2"/>
  <c r="F4" i="2"/>
  <c r="B4" i="2"/>
</calcChain>
</file>

<file path=xl/sharedStrings.xml><?xml version="1.0" encoding="utf-8"?>
<sst xmlns="http://schemas.openxmlformats.org/spreadsheetml/2006/main" count="159" uniqueCount="114">
  <si>
    <t>(in ₹ Crore)</t>
  </si>
  <si>
    <t>FY2022</t>
  </si>
  <si>
    <t>FY2023</t>
  </si>
  <si>
    <t>FY2024</t>
  </si>
  <si>
    <t>FY2025</t>
  </si>
  <si>
    <t>FY2026</t>
  </si>
  <si>
    <t>Sales</t>
  </si>
  <si>
    <t>Operating Profit (EBIT)</t>
  </si>
  <si>
    <t>Tax %</t>
  </si>
  <si>
    <t>Depreciation</t>
  </si>
  <si>
    <t>Capex</t>
  </si>
  <si>
    <t>Δ Working Capital</t>
  </si>
  <si>
    <t>EBIT</t>
  </si>
  <si>
    <t>Tax Rate</t>
  </si>
  <si>
    <t>EBIT * (1-Tax Rate) [NOPAT]</t>
  </si>
  <si>
    <t>− Δ Working Capital</t>
  </si>
  <si>
    <t>− Capex</t>
  </si>
  <si>
    <t>FCFF</t>
  </si>
  <si>
    <t>FY2027</t>
  </si>
  <si>
    <t>FY2028</t>
  </si>
  <si>
    <t>FY2029</t>
  </si>
  <si>
    <t>FY2030</t>
  </si>
  <si>
    <t>FY2031</t>
  </si>
  <si>
    <t>Growth Rate</t>
  </si>
  <si>
    <t>EBIT Margin</t>
  </si>
  <si>
    <t xml:space="preserve">EBIT </t>
  </si>
  <si>
    <r>
      <rPr>
        <b/>
        <sz val="11"/>
        <color theme="1"/>
        <rFont val="Calibri"/>
        <family val="2"/>
        <scheme val="minor"/>
      </rPr>
      <t>NOPAT</t>
    </r>
    <r>
      <rPr>
        <sz val="11"/>
        <color theme="1"/>
        <rFont val="Calibri"/>
        <family val="2"/>
        <scheme val="minor"/>
      </rPr>
      <t xml:space="preserve"> [EBIT*(1-Tax)]</t>
    </r>
  </si>
  <si>
    <t>Depreciation (2.9% of Sales)</t>
  </si>
  <si>
    <t>Capex (1.6% of Sales)</t>
  </si>
  <si>
    <t>NOTES</t>
  </si>
  <si>
    <t>Δ Working Capital (-2.1% of Sales)</t>
  </si>
  <si>
    <t>Row</t>
  </si>
  <si>
    <t>Note</t>
  </si>
  <si>
    <t xml:space="preserve">NOPAT </t>
  </si>
  <si>
    <t>Growth rate tapered from 10% to 6% over 5 years, reflecting slowing IT services sector growth as revenue base increases</t>
  </si>
  <si>
    <t>Projected by applying tapering growth rate to FY2026 actual sales</t>
  </si>
  <si>
    <t>Held constant at 24%, based on 5-year historical average (FY2022–FY2026)</t>
  </si>
  <si>
    <t>Calculated as Sales × EBIT Margin</t>
  </si>
  <si>
    <t>Based on 5-year historical average effective tax rate of ~27%</t>
  </si>
  <si>
    <t>Calculated as EBIT × (1 − Tax Rate)</t>
  </si>
  <si>
    <t>Projected as 2.9% of Sales, based on 5-year historical average</t>
  </si>
  <si>
    <t>Projected as 1.6% of Sales, based on 5-year historical average</t>
  </si>
  <si>
    <t>Projected as -2.1% of Sales, based on 5-year historical average</t>
  </si>
  <si>
    <t>Calculated as NOPAT + Depreciation − Capex − Δ Working Capital</t>
  </si>
  <si>
    <t>Value</t>
  </si>
  <si>
    <t>Risk-Free Rate</t>
  </si>
  <si>
    <t>Beta</t>
  </si>
  <si>
    <t>Market Risk Premium</t>
  </si>
  <si>
    <t>Cost of Equity (CAPM)</t>
  </si>
  <si>
    <t>Cost of Debt (pre-tax)</t>
  </si>
  <si>
    <t xml:space="preserve">Cost of Debt </t>
  </si>
  <si>
    <t>Cost of Debt (post-tax)</t>
  </si>
  <si>
    <t>Market Cap (E)</t>
  </si>
  <si>
    <t>Capital Structure</t>
  </si>
  <si>
    <t>Total Debt (D)</t>
  </si>
  <si>
    <t>Total Capital (V)</t>
  </si>
  <si>
    <t>E/V</t>
  </si>
  <si>
    <t>WACC</t>
  </si>
  <si>
    <t>D/V</t>
  </si>
  <si>
    <t xml:space="preserve">Cost of Equity </t>
  </si>
  <si>
    <t>E/V, D/V</t>
  </si>
  <si>
    <t>Based on India's 10-Year Government Bond (G-Sec) yield as of July 2026</t>
  </si>
  <si>
    <t>Assumed at 0.85, typical for large-cap Indian IT services companies, which show lower volatility than the broader market</t>
  </si>
  <si>
    <t>Standard assumed premium for Indian equity markets</t>
  </si>
  <si>
    <t>Calculated using CAPM: Risk-Free Rate + Beta × Market Risk Premium</t>
  </si>
  <si>
    <t>Assumed based on typical borrowing rate for a high-credit-rated Indian corporate</t>
  </si>
  <si>
    <t>Adjusted for tax shield, since interest is tax-deductible</t>
  </si>
  <si>
    <t>Reflects Infosys's actual capital structure — predominantly equity-funded, consistent with asset-light IT services businesses</t>
  </si>
  <si>
    <t>Weighted average of Cost of Equity and post-tax Cost of Debt, used as the discount rate for FCFF</t>
  </si>
  <si>
    <t>FY2031 FCFF</t>
  </si>
  <si>
    <t>Terminal Growth Rate</t>
  </si>
  <si>
    <t>FCFF Year 6 (FY2032)</t>
  </si>
  <si>
    <t>WACC − Growth Rate</t>
  </si>
  <si>
    <t>Terminal Value (FY2031)</t>
  </si>
  <si>
    <t>Year</t>
  </si>
  <si>
    <t>Discount Factor = 1/(1+WACC)^n</t>
  </si>
  <si>
    <t>Present Value = FCFF × Discount Factor</t>
  </si>
  <si>
    <t>FY2027 (n=1)</t>
  </si>
  <si>
    <t>FY2028 (n=2)</t>
  </si>
  <si>
    <t>FY2029 (n=3)</t>
  </si>
  <si>
    <t>FY2030 (n=4)</t>
  </si>
  <si>
    <t>FY2031 (n=5)</t>
  </si>
  <si>
    <t>Terminal Value (n=5)</t>
  </si>
  <si>
    <t>Enterprise Value (Total)</t>
  </si>
  <si>
    <t>Discount Factor</t>
  </si>
  <si>
    <t>FY2027–FY2031 FCFF</t>
  </si>
  <si>
    <t>Present Value</t>
  </si>
  <si>
    <t>Terminal Value</t>
  </si>
  <si>
    <t>Enterprise Value</t>
  </si>
  <si>
    <t>Calculated as 1 ÷ (1 + WACC)^n, where n is the number of years from today to that cash flow</t>
  </si>
  <si>
    <t>Pulled from Projections tab; represents forecasted Free Cash Flow to Firm for each year</t>
  </si>
  <si>
    <t>Each year's FCFF multiplied by its corresponding Discount Factor, converting future cash flow to today's value</t>
  </si>
  <si>
    <t>Represents value of all cash flows beyond FY2031, discounted using the same n=5 factor since it is calculated as of end of FY2031</t>
  </si>
  <si>
    <t>Sum of all present values (5 years of FCFF + discounted Terminal Value); represents total value of the company before adjusting for debt and cash</t>
  </si>
  <si>
    <t>Less: Total Debt</t>
  </si>
  <si>
    <t>Add: Cash &amp; Cash Equivalents</t>
  </si>
  <si>
    <t>Equity Value</t>
  </si>
  <si>
    <t>Reflects Infosys's Borrowings as of FY2026 (Balance Sheet); debt holders have first claim on company value, so this is subtracted</t>
  </si>
  <si>
    <t>Reflects Infosys's Cash &amp; Cash Equivalents as of FY2026 (Balance Sheet); already belongs to shareholders and isn't captured in operating FCFF, so it is added back</t>
  </si>
  <si>
    <t>Represents the portion of company value attributable to shareholders only, used to derive fair value per share</t>
  </si>
  <si>
    <t>Market Cap (₹ Cr)</t>
  </si>
  <si>
    <t>Current Price (₹)</t>
  </si>
  <si>
    <t>Shares Outstanding (Cr)</t>
  </si>
  <si>
    <t>Fair Value per Share (₹)</t>
  </si>
  <si>
    <t>WACC \ Terminal Growth</t>
  </si>
  <si>
    <t>Cell</t>
  </si>
  <si>
    <t>Label</t>
  </si>
  <si>
    <t>FY2027 FCFF</t>
  </si>
  <si>
    <t>FY2028 FCFF</t>
  </si>
  <si>
    <t>FY2029 FCFF</t>
  </si>
  <si>
    <t>FY2030 FCFF</t>
  </si>
  <si>
    <t>Total Debt</t>
  </si>
  <si>
    <t>Cash &amp; Equivalents</t>
  </si>
  <si>
    <t>Shares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</si>
</sst>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₹&quot;#,##0&quot; Cr&quot;"/>
    <numFmt numFmtId="165" formatCode="&quot;₹&quot;#,##0.00&quot; Cr&quot;"/>
    <numFmt numFmtId="166" formatCode="&quot;₹&quot;\ #,##0.00"/>
    <numFmt numFmtId="167" formatCode="#,##0.00&quot; Cr shares&quot;"/>
    <numFmt numFmtId="168" formatCode="&quot;₹&quot;#,##0.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10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0" fontId="0" fillId="0" borderId="0" xfId="0" applyNumberFormat="1"/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C56D-D923-4B93-94A0-39F5F8B6F413}">
  <dimension ref="A1:F7"/>
  <sheetViews>
    <sheetView workbookViewId="0">
      <selection activeCell="A8" sqref="A8"/>
    </sheetView>
  </sheetViews>
  <sheetFormatPr defaultRowHeight="14.4" x14ac:dyDescent="0.3"/>
  <cols>
    <col min="1" max="1" width="19.44140625" bestFit="1" customWidth="1"/>
    <col min="2" max="6" width="7.5546875" bestFit="1" customWidth="1"/>
  </cols>
  <sheetData>
    <row r="1" spans="1: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1">
        <v>121641</v>
      </c>
      <c r="C2" s="1">
        <v>146767</v>
      </c>
      <c r="D2" s="1">
        <v>153670</v>
      </c>
      <c r="E2" s="1">
        <v>162990</v>
      </c>
      <c r="F2" s="1">
        <v>178650</v>
      </c>
    </row>
    <row r="3" spans="1:6" x14ac:dyDescent="0.3">
      <c r="A3" s="1" t="s">
        <v>7</v>
      </c>
      <c r="B3" s="1">
        <v>31491</v>
      </c>
      <c r="C3" s="1">
        <v>35130</v>
      </c>
      <c r="D3" s="1">
        <v>36425</v>
      </c>
      <c r="E3" s="1">
        <v>39236</v>
      </c>
      <c r="F3" s="1">
        <v>42280</v>
      </c>
    </row>
    <row r="4" spans="1:6" x14ac:dyDescent="0.3">
      <c r="A4" s="1" t="s">
        <v>8</v>
      </c>
      <c r="B4" s="2">
        <v>0.26</v>
      </c>
      <c r="C4" s="2">
        <v>0.28000000000000003</v>
      </c>
      <c r="D4" s="2">
        <v>0.27</v>
      </c>
      <c r="E4" s="2">
        <v>0.28999999999999998</v>
      </c>
      <c r="F4" s="2">
        <v>0.26</v>
      </c>
    </row>
    <row r="5" spans="1:6" x14ac:dyDescent="0.3">
      <c r="A5" s="1" t="s">
        <v>9</v>
      </c>
      <c r="B5" s="1">
        <v>3676</v>
      </c>
      <c r="C5" s="1">
        <v>4225</v>
      </c>
      <c r="D5" s="1">
        <v>4678</v>
      </c>
      <c r="E5" s="1">
        <v>4812</v>
      </c>
      <c r="F5" s="1">
        <v>4902</v>
      </c>
    </row>
    <row r="6" spans="1:6" x14ac:dyDescent="0.3">
      <c r="A6" s="1" t="s">
        <v>10</v>
      </c>
      <c r="B6" s="1">
        <v>2161</v>
      </c>
      <c r="C6" s="1">
        <v>2579</v>
      </c>
      <c r="D6" s="1">
        <v>2201</v>
      </c>
      <c r="E6" s="1">
        <v>2237</v>
      </c>
      <c r="F6" s="1">
        <v>2727</v>
      </c>
    </row>
    <row r="7" spans="1:6" x14ac:dyDescent="0.3">
      <c r="A7" s="1" t="s">
        <v>11</v>
      </c>
      <c r="B7" s="1">
        <v>-1424</v>
      </c>
      <c r="C7" s="1">
        <v>-6344</v>
      </c>
      <c r="D7" s="1">
        <v>-5082</v>
      </c>
      <c r="E7" s="1">
        <v>-295</v>
      </c>
      <c r="F7" s="1">
        <v>-2639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5629-AE00-4B5E-8447-AF9C64123D7C}">
  <dimension ref="A1:I12"/>
  <sheetViews>
    <sheetView tabSelected="1" workbookViewId="0">
      <selection activeCell="B11" sqref="B11:F11"/>
    </sheetView>
  </sheetViews>
  <sheetFormatPr defaultRowHeight="14.4" x14ac:dyDescent="0.3"/>
  <cols>
    <col min="1" max="1" width="28.88671875" bestFit="1" customWidth="1"/>
    <col min="2" max="6" width="6.88671875" bestFit="1" customWidth="1"/>
    <col min="8" max="8" width="28.88671875" bestFit="1" customWidth="1"/>
    <col min="9" max="9" width="101.109375" bestFit="1" customWidth="1"/>
  </cols>
  <sheetData>
    <row r="1" spans="1:9" ht="18.600000000000001" customHeight="1" x14ac:dyDescent="0.3">
      <c r="A1" s="5" t="s">
        <v>0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H1" s="15" t="s">
        <v>29</v>
      </c>
      <c r="I1" s="15"/>
    </row>
    <row r="2" spans="1:9" x14ac:dyDescent="0.3">
      <c r="A2" s="1" t="s">
        <v>23</v>
      </c>
      <c r="B2" s="2">
        <v>0.1</v>
      </c>
      <c r="C2" s="2">
        <v>0.09</v>
      </c>
      <c r="D2" s="2">
        <v>0.08</v>
      </c>
      <c r="E2" s="2">
        <v>7.0000000000000007E-2</v>
      </c>
      <c r="F2" s="2">
        <v>0.06</v>
      </c>
      <c r="H2" s="6" t="s">
        <v>31</v>
      </c>
      <c r="I2" s="6" t="s">
        <v>32</v>
      </c>
    </row>
    <row r="3" spans="1:9" x14ac:dyDescent="0.3">
      <c r="A3" s="1" t="s">
        <v>6</v>
      </c>
      <c r="B3" s="1">
        <v>196515</v>
      </c>
      <c r="C3" s="1">
        <v>214201</v>
      </c>
      <c r="D3" s="1">
        <v>231337</v>
      </c>
      <c r="E3" s="1">
        <v>247531</v>
      </c>
      <c r="F3" s="1">
        <v>262383</v>
      </c>
      <c r="H3" s="1" t="s">
        <v>23</v>
      </c>
      <c r="I3" s="1" t="s">
        <v>34</v>
      </c>
    </row>
    <row r="4" spans="1:9" x14ac:dyDescent="0.3">
      <c r="A4" s="1" t="s">
        <v>24</v>
      </c>
      <c r="B4" s="2">
        <v>0.24</v>
      </c>
      <c r="C4" s="2">
        <v>0.24</v>
      </c>
      <c r="D4" s="2">
        <v>0.24</v>
      </c>
      <c r="E4" s="2">
        <v>0.24</v>
      </c>
      <c r="F4" s="2">
        <v>0.24</v>
      </c>
      <c r="H4" s="1" t="s">
        <v>6</v>
      </c>
      <c r="I4" s="1" t="s">
        <v>35</v>
      </c>
    </row>
    <row r="5" spans="1:9" x14ac:dyDescent="0.3">
      <c r="A5" s="4" t="s">
        <v>25</v>
      </c>
      <c r="B5" s="1">
        <f>B3*B4</f>
        <v>47163.6</v>
      </c>
      <c r="C5" s="1">
        <f t="shared" ref="C5:F5" si="0">C3*C4</f>
        <v>51408.24</v>
      </c>
      <c r="D5" s="1">
        <f t="shared" si="0"/>
        <v>55520.88</v>
      </c>
      <c r="E5" s="1">
        <f t="shared" si="0"/>
        <v>59407.439999999995</v>
      </c>
      <c r="F5" s="1">
        <f t="shared" si="0"/>
        <v>62971.92</v>
      </c>
      <c r="H5" s="1" t="s">
        <v>24</v>
      </c>
      <c r="I5" s="1" t="s">
        <v>36</v>
      </c>
    </row>
    <row r="6" spans="1:9" x14ac:dyDescent="0.3">
      <c r="A6" s="1" t="s">
        <v>13</v>
      </c>
      <c r="B6" s="2">
        <v>0.27</v>
      </c>
      <c r="C6" s="2">
        <v>0.27</v>
      </c>
      <c r="D6" s="2">
        <v>0.27</v>
      </c>
      <c r="E6" s="2">
        <v>0.27</v>
      </c>
      <c r="F6" s="2">
        <v>0.27</v>
      </c>
      <c r="H6" s="1" t="s">
        <v>25</v>
      </c>
      <c r="I6" s="1" t="s">
        <v>37</v>
      </c>
    </row>
    <row r="7" spans="1:9" x14ac:dyDescent="0.3">
      <c r="A7" s="1" t="s">
        <v>26</v>
      </c>
      <c r="B7" s="1">
        <f>B5*(1-B6)</f>
        <v>34429.428</v>
      </c>
      <c r="C7" s="1">
        <f t="shared" ref="C7:F7" si="1">C5*(1-C6)</f>
        <v>37528.015199999994</v>
      </c>
      <c r="D7" s="1">
        <f t="shared" si="1"/>
        <v>40530.242399999996</v>
      </c>
      <c r="E7" s="1">
        <f t="shared" si="1"/>
        <v>43367.431199999992</v>
      </c>
      <c r="F7" s="1">
        <f t="shared" si="1"/>
        <v>45969.501599999996</v>
      </c>
      <c r="H7" s="1" t="s">
        <v>13</v>
      </c>
      <c r="I7" s="1" t="s">
        <v>38</v>
      </c>
    </row>
    <row r="8" spans="1:9" x14ac:dyDescent="0.3">
      <c r="A8" s="1" t="s">
        <v>27</v>
      </c>
      <c r="B8" s="1">
        <f>B3*2.9%</f>
        <v>5698.9349999999995</v>
      </c>
      <c r="C8" s="1">
        <f t="shared" ref="C8:F8" si="2">C3*2.9%</f>
        <v>6211.8289999999997</v>
      </c>
      <c r="D8" s="1">
        <f t="shared" si="2"/>
        <v>6708.7729999999992</v>
      </c>
      <c r="E8" s="1">
        <f t="shared" si="2"/>
        <v>7178.3989999999994</v>
      </c>
      <c r="F8" s="1">
        <f t="shared" si="2"/>
        <v>7609.1069999999991</v>
      </c>
      <c r="H8" s="1" t="s">
        <v>33</v>
      </c>
      <c r="I8" s="1" t="s">
        <v>39</v>
      </c>
    </row>
    <row r="9" spans="1:9" x14ac:dyDescent="0.3">
      <c r="A9" s="1" t="s">
        <v>28</v>
      </c>
      <c r="B9" s="1">
        <f>B3*1.6%</f>
        <v>3144.2400000000002</v>
      </c>
      <c r="C9" s="1">
        <f t="shared" ref="C9:F9" si="3">C3*1.6%</f>
        <v>3427.2159999999999</v>
      </c>
      <c r="D9" s="1">
        <f t="shared" si="3"/>
        <v>3701.3920000000003</v>
      </c>
      <c r="E9" s="1">
        <f t="shared" si="3"/>
        <v>3960.4960000000001</v>
      </c>
      <c r="F9" s="1">
        <f t="shared" si="3"/>
        <v>4198.1279999999997</v>
      </c>
      <c r="H9" s="1" t="s">
        <v>27</v>
      </c>
      <c r="I9" s="1" t="s">
        <v>40</v>
      </c>
    </row>
    <row r="10" spans="1:9" x14ac:dyDescent="0.3">
      <c r="A10" s="1" t="s">
        <v>30</v>
      </c>
      <c r="B10" s="1">
        <f>-2.1%*B3</f>
        <v>-4126.8150000000005</v>
      </c>
      <c r="C10" s="1">
        <f t="shared" ref="C10:F10" si="4">-2.1%*C3</f>
        <v>-4498.2210000000005</v>
      </c>
      <c r="D10" s="1">
        <f t="shared" si="4"/>
        <v>-4858.0770000000002</v>
      </c>
      <c r="E10" s="1">
        <f t="shared" si="4"/>
        <v>-5198.1510000000007</v>
      </c>
      <c r="F10" s="1">
        <f t="shared" si="4"/>
        <v>-5510.0430000000006</v>
      </c>
      <c r="H10" s="1" t="s">
        <v>28</v>
      </c>
      <c r="I10" s="1" t="s">
        <v>41</v>
      </c>
    </row>
    <row r="11" spans="1:9" x14ac:dyDescent="0.3">
      <c r="A11" s="4" t="s">
        <v>17</v>
      </c>
      <c r="B11" s="1">
        <f>B7+B8-B9-B10</f>
        <v>41110.938000000002</v>
      </c>
      <c r="C11" s="1">
        <f t="shared" ref="C11:F11" si="5">C7+C8-C9-C10</f>
        <v>44810.84919999999</v>
      </c>
      <c r="D11" s="1">
        <f t="shared" si="5"/>
        <v>48395.700399999994</v>
      </c>
      <c r="E11" s="1">
        <f t="shared" si="5"/>
        <v>51783.485199999988</v>
      </c>
      <c r="F11" s="1">
        <f t="shared" si="5"/>
        <v>54890.523599999993</v>
      </c>
      <c r="H11" s="1" t="s">
        <v>30</v>
      </c>
      <c r="I11" s="1" t="s">
        <v>42</v>
      </c>
    </row>
    <row r="12" spans="1:9" x14ac:dyDescent="0.3">
      <c r="H12" s="1" t="s">
        <v>17</v>
      </c>
      <c r="I12" s="1" t="s">
        <v>43</v>
      </c>
    </row>
  </sheetData>
  <mergeCells count="1"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6E9C-60B8-4F94-930C-C7A2ADFC490A}">
  <dimension ref="A1:F8"/>
  <sheetViews>
    <sheetView workbookViewId="0">
      <selection activeCell="A9" sqref="A9"/>
    </sheetView>
  </sheetViews>
  <sheetFormatPr defaultRowHeight="14.4" x14ac:dyDescent="0.3"/>
  <cols>
    <col min="1" max="1" width="24.33203125" bestFit="1" customWidth="1"/>
    <col min="2" max="6" width="7.5546875" bestFit="1" customWidth="1"/>
  </cols>
  <sheetData>
    <row r="1" spans="1: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12</v>
      </c>
      <c r="B2" s="1">
        <v>31491</v>
      </c>
      <c r="C2" s="1">
        <v>35130</v>
      </c>
      <c r="D2" s="1">
        <v>36425</v>
      </c>
      <c r="E2" s="1">
        <v>39236</v>
      </c>
      <c r="F2" s="1">
        <v>42280</v>
      </c>
    </row>
    <row r="3" spans="1:6" x14ac:dyDescent="0.3">
      <c r="A3" s="1" t="s">
        <v>13</v>
      </c>
      <c r="B3" s="2">
        <v>0.26</v>
      </c>
      <c r="C3" s="2">
        <v>0.28000000000000003</v>
      </c>
      <c r="D3" s="2">
        <v>0.27</v>
      </c>
      <c r="E3" s="2">
        <v>0.28999999999999998</v>
      </c>
      <c r="F3" s="2">
        <v>0.26</v>
      </c>
    </row>
    <row r="4" spans="1:6" x14ac:dyDescent="0.3">
      <c r="A4" s="1" t="s">
        <v>14</v>
      </c>
      <c r="B4" s="1">
        <f>B2*(1-B3)</f>
        <v>23303.34</v>
      </c>
      <c r="C4" s="1">
        <f t="shared" ref="C4:F4" si="0">C2*(1-C3)</f>
        <v>25293.599999999999</v>
      </c>
      <c r="D4" s="1">
        <f t="shared" si="0"/>
        <v>26590.25</v>
      </c>
      <c r="E4" s="1">
        <f t="shared" si="0"/>
        <v>27857.559999999998</v>
      </c>
      <c r="F4" s="1">
        <f t="shared" si="0"/>
        <v>31287.200000000001</v>
      </c>
    </row>
    <row r="5" spans="1:6" x14ac:dyDescent="0.3">
      <c r="A5" s="1" t="s">
        <v>9</v>
      </c>
      <c r="B5" s="1">
        <v>3476</v>
      </c>
      <c r="C5" s="1">
        <v>4225</v>
      </c>
      <c r="D5" s="1">
        <v>4678</v>
      </c>
      <c r="E5" s="1">
        <v>4812</v>
      </c>
      <c r="F5" s="1">
        <v>4902</v>
      </c>
    </row>
    <row r="6" spans="1:6" x14ac:dyDescent="0.3">
      <c r="A6" s="1" t="s">
        <v>16</v>
      </c>
      <c r="B6" s="1">
        <v>2161</v>
      </c>
      <c r="C6" s="1">
        <v>2579</v>
      </c>
      <c r="D6" s="1">
        <v>2201</v>
      </c>
      <c r="E6" s="1">
        <v>2237</v>
      </c>
      <c r="F6" s="1">
        <v>2727</v>
      </c>
    </row>
    <row r="7" spans="1:6" x14ac:dyDescent="0.3">
      <c r="A7" s="1" t="s">
        <v>15</v>
      </c>
      <c r="B7" s="1">
        <v>-1424</v>
      </c>
      <c r="C7" s="1">
        <v>-6344</v>
      </c>
      <c r="D7" s="1">
        <v>-5082</v>
      </c>
      <c r="E7" s="1">
        <v>-295</v>
      </c>
      <c r="F7" s="1">
        <v>-2639</v>
      </c>
    </row>
    <row r="8" spans="1:6" x14ac:dyDescent="0.3">
      <c r="A8" s="4" t="s">
        <v>17</v>
      </c>
      <c r="B8" s="1">
        <f>B4+B5-(B6+B7)</f>
        <v>26042.34</v>
      </c>
      <c r="C8" s="1">
        <f t="shared" ref="C8:F8" si="1">C4+C5-(C6+C7)</f>
        <v>33283.599999999999</v>
      </c>
      <c r="D8" s="1">
        <f t="shared" si="1"/>
        <v>34149.25</v>
      </c>
      <c r="E8" s="1">
        <f t="shared" si="1"/>
        <v>30727.559999999998</v>
      </c>
      <c r="F8" s="1">
        <f t="shared" si="1"/>
        <v>36101.199999999997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7277-4D0F-4150-BB0B-1ED484C02DB9}">
  <dimension ref="A1:F17"/>
  <sheetViews>
    <sheetView workbookViewId="0">
      <selection activeCell="F15" sqref="F15"/>
    </sheetView>
  </sheetViews>
  <sheetFormatPr defaultRowHeight="14.4" x14ac:dyDescent="0.3"/>
  <cols>
    <col min="1" max="1" width="19.88671875" bestFit="1" customWidth="1"/>
    <col min="2" max="2" width="11.109375" bestFit="1" customWidth="1"/>
    <col min="5" max="5" width="19" bestFit="1" customWidth="1"/>
    <col min="6" max="6" width="102.6640625" bestFit="1" customWidth="1"/>
  </cols>
  <sheetData>
    <row r="1" spans="1:6" ht="18" x14ac:dyDescent="0.35">
      <c r="A1" s="3" t="s">
        <v>31</v>
      </c>
      <c r="B1" s="3" t="s">
        <v>44</v>
      </c>
      <c r="E1" s="16" t="s">
        <v>29</v>
      </c>
      <c r="F1" s="16"/>
    </row>
    <row r="2" spans="1:6" ht="15.6" x14ac:dyDescent="0.3">
      <c r="A2" s="4" t="s">
        <v>48</v>
      </c>
      <c r="B2" s="1"/>
      <c r="E2" s="3" t="s">
        <v>31</v>
      </c>
      <c r="F2" s="3" t="s">
        <v>32</v>
      </c>
    </row>
    <row r="3" spans="1:6" x14ac:dyDescent="0.3">
      <c r="A3" s="1" t="s">
        <v>45</v>
      </c>
      <c r="B3" s="7">
        <v>6.8000000000000005E-2</v>
      </c>
      <c r="E3" s="1" t="s">
        <v>45</v>
      </c>
      <c r="F3" s="1" t="s">
        <v>61</v>
      </c>
    </row>
    <row r="4" spans="1:6" x14ac:dyDescent="0.3">
      <c r="A4" s="1" t="s">
        <v>46</v>
      </c>
      <c r="B4" s="1">
        <v>0.85</v>
      </c>
      <c r="E4" s="1" t="s">
        <v>46</v>
      </c>
      <c r="F4" s="1" t="s">
        <v>62</v>
      </c>
    </row>
    <row r="5" spans="1:6" x14ac:dyDescent="0.3">
      <c r="A5" s="1" t="s">
        <v>47</v>
      </c>
      <c r="B5" s="7">
        <v>5.5E-2</v>
      </c>
      <c r="E5" s="1" t="s">
        <v>47</v>
      </c>
      <c r="F5" s="1" t="s">
        <v>63</v>
      </c>
    </row>
    <row r="6" spans="1:6" x14ac:dyDescent="0.3">
      <c r="A6" s="1" t="s">
        <v>48</v>
      </c>
      <c r="B6" s="7">
        <v>0.1148</v>
      </c>
      <c r="E6" s="1" t="s">
        <v>59</v>
      </c>
      <c r="F6" s="1" t="s">
        <v>64</v>
      </c>
    </row>
    <row r="7" spans="1:6" x14ac:dyDescent="0.3">
      <c r="A7" s="4" t="s">
        <v>50</v>
      </c>
      <c r="B7" s="1"/>
      <c r="E7" s="1" t="s">
        <v>50</v>
      </c>
      <c r="F7" s="1" t="s">
        <v>65</v>
      </c>
    </row>
    <row r="8" spans="1:6" x14ac:dyDescent="0.3">
      <c r="A8" s="1" t="s">
        <v>49</v>
      </c>
      <c r="B8" s="7">
        <v>7.4999999999999997E-2</v>
      </c>
      <c r="E8" s="1" t="s">
        <v>49</v>
      </c>
      <c r="F8" s="1" t="s">
        <v>66</v>
      </c>
    </row>
    <row r="9" spans="1:6" x14ac:dyDescent="0.3">
      <c r="A9" s="1" t="s">
        <v>13</v>
      </c>
      <c r="B9" s="2">
        <v>0.27</v>
      </c>
      <c r="E9" s="1" t="s">
        <v>60</v>
      </c>
      <c r="F9" s="1" t="s">
        <v>67</v>
      </c>
    </row>
    <row r="10" spans="1:6" x14ac:dyDescent="0.3">
      <c r="A10" s="1" t="s">
        <v>51</v>
      </c>
      <c r="B10" s="7">
        <v>5.4800000000000001E-2</v>
      </c>
      <c r="E10" s="1" t="s">
        <v>57</v>
      </c>
      <c r="F10" s="1" t="s">
        <v>68</v>
      </c>
    </row>
    <row r="11" spans="1:6" x14ac:dyDescent="0.3">
      <c r="A11" s="4" t="s">
        <v>53</v>
      </c>
      <c r="B11" s="1"/>
    </row>
    <row r="12" spans="1:6" x14ac:dyDescent="0.3">
      <c r="A12" s="1" t="s">
        <v>52</v>
      </c>
      <c r="B12" s="8">
        <v>458547</v>
      </c>
    </row>
    <row r="13" spans="1:6" x14ac:dyDescent="0.3">
      <c r="A13" s="1" t="s">
        <v>54</v>
      </c>
      <c r="B13" s="8">
        <v>9176</v>
      </c>
    </row>
    <row r="14" spans="1:6" x14ac:dyDescent="0.3">
      <c r="A14" s="1" t="s">
        <v>55</v>
      </c>
      <c r="B14" s="9">
        <f>B12+B13</f>
        <v>467723</v>
      </c>
    </row>
    <row r="15" spans="1:6" x14ac:dyDescent="0.3">
      <c r="A15" s="1" t="s">
        <v>56</v>
      </c>
      <c r="B15" s="7">
        <f>B12/B14</f>
        <v>0.98038155061863541</v>
      </c>
    </row>
    <row r="16" spans="1:6" x14ac:dyDescent="0.3">
      <c r="A16" s="1" t="s">
        <v>58</v>
      </c>
      <c r="B16" s="7">
        <f>B13/B14</f>
        <v>1.961844938136461E-2</v>
      </c>
    </row>
    <row r="17" spans="1:2" x14ac:dyDescent="0.3">
      <c r="A17" s="4" t="s">
        <v>57</v>
      </c>
      <c r="B17" s="7">
        <f>(B12/B14*B6)+(B13/B14*B10)</f>
        <v>0.11362289303711812</v>
      </c>
    </row>
  </sheetData>
  <mergeCells count="1">
    <mergeCell ref="E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A2C2-0E48-4791-BC56-205B6C496E25}">
  <dimension ref="A1:B7"/>
  <sheetViews>
    <sheetView workbookViewId="0">
      <selection activeCell="B8" sqref="B8"/>
    </sheetView>
  </sheetViews>
  <sheetFormatPr defaultRowHeight="14.4" x14ac:dyDescent="0.3"/>
  <cols>
    <col min="1" max="1" width="21.5546875" bestFit="1" customWidth="1"/>
    <col min="2" max="2" width="13.77734375" bestFit="1" customWidth="1"/>
  </cols>
  <sheetData>
    <row r="1" spans="1:2" ht="15.6" x14ac:dyDescent="0.3">
      <c r="A1" s="3" t="s">
        <v>31</v>
      </c>
      <c r="B1" s="3" t="s">
        <v>44</v>
      </c>
    </row>
    <row r="2" spans="1:2" x14ac:dyDescent="0.3">
      <c r="A2" s="1" t="s">
        <v>69</v>
      </c>
      <c r="B2" s="10">
        <v>54890</v>
      </c>
    </row>
    <row r="3" spans="1:2" x14ac:dyDescent="0.3">
      <c r="A3" s="1" t="s">
        <v>70</v>
      </c>
      <c r="B3" s="2">
        <v>0.05</v>
      </c>
    </row>
    <row r="4" spans="1:2" x14ac:dyDescent="0.3">
      <c r="A4" s="1" t="s">
        <v>71</v>
      </c>
      <c r="B4" s="10">
        <f>B2*(1+5%)</f>
        <v>57634.5</v>
      </c>
    </row>
    <row r="5" spans="1:2" x14ac:dyDescent="0.3">
      <c r="A5" s="1" t="s">
        <v>57</v>
      </c>
      <c r="B5" s="7">
        <v>0.11360000000000001</v>
      </c>
    </row>
    <row r="6" spans="1:2" x14ac:dyDescent="0.3">
      <c r="A6" s="1" t="s">
        <v>72</v>
      </c>
      <c r="B6" s="7">
        <f>B5-B3</f>
        <v>6.3600000000000004E-2</v>
      </c>
    </row>
    <row r="7" spans="1:2" x14ac:dyDescent="0.3">
      <c r="A7" s="4" t="s">
        <v>73</v>
      </c>
      <c r="B7" s="10">
        <f>B4/B6</f>
        <v>906202.83018867916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B3F5-BA09-44BA-AB31-FF549E2B2EC9}">
  <dimension ref="A1:G18"/>
  <sheetViews>
    <sheetView workbookViewId="0">
      <selection activeCell="B18" sqref="B18"/>
    </sheetView>
  </sheetViews>
  <sheetFormatPr defaultRowHeight="14.4" x14ac:dyDescent="0.3"/>
  <cols>
    <col min="1" max="1" width="25.109375" bestFit="1" customWidth="1"/>
    <col min="2" max="2" width="14.5546875" bestFit="1" customWidth="1"/>
    <col min="3" max="3" width="32.109375" bestFit="1" customWidth="1"/>
    <col min="4" max="4" width="38" bestFit="1" customWidth="1"/>
    <col min="6" max="6" width="25.109375" bestFit="1" customWidth="1"/>
    <col min="7" max="7" width="133.88671875" bestFit="1" customWidth="1"/>
  </cols>
  <sheetData>
    <row r="1" spans="1:7" ht="15.6" customHeight="1" x14ac:dyDescent="0.35">
      <c r="A1" s="3" t="s">
        <v>74</v>
      </c>
      <c r="B1" s="3" t="s">
        <v>17</v>
      </c>
      <c r="C1" s="3" t="s">
        <v>75</v>
      </c>
      <c r="D1" s="3" t="s">
        <v>76</v>
      </c>
      <c r="F1" s="16" t="s">
        <v>29</v>
      </c>
      <c r="G1" s="16"/>
    </row>
    <row r="2" spans="1:7" ht="15.6" x14ac:dyDescent="0.3">
      <c r="A2" s="1" t="s">
        <v>77</v>
      </c>
      <c r="B2" s="10">
        <v>41111</v>
      </c>
      <c r="C2" s="1">
        <f>1/(1+11.36%)^1</f>
        <v>0.89798850574712652</v>
      </c>
      <c r="D2" s="10">
        <f>B2*C2</f>
        <v>36917.205459770121</v>
      </c>
      <c r="F2" s="3" t="s">
        <v>31</v>
      </c>
      <c r="G2" s="3" t="s">
        <v>32</v>
      </c>
    </row>
    <row r="3" spans="1:7" x14ac:dyDescent="0.3">
      <c r="A3" s="1" t="s">
        <v>78</v>
      </c>
      <c r="B3" s="10">
        <v>44811</v>
      </c>
      <c r="C3" s="1">
        <f>1/(1+11.36%)^2</f>
        <v>0.80638335645395709</v>
      </c>
      <c r="D3" s="10">
        <f t="shared" ref="D3:D7" si="0">B3*C3</f>
        <v>36134.844586058272</v>
      </c>
      <c r="F3" s="1" t="s">
        <v>84</v>
      </c>
      <c r="G3" s="1" t="s">
        <v>89</v>
      </c>
    </row>
    <row r="4" spans="1:7" x14ac:dyDescent="0.3">
      <c r="A4" s="1" t="s">
        <v>79</v>
      </c>
      <c r="B4" s="10">
        <v>48396</v>
      </c>
      <c r="C4" s="1">
        <f>1/(1+11.36%)^3</f>
        <v>0.72412298532144137</v>
      </c>
      <c r="D4" s="10">
        <f t="shared" si="0"/>
        <v>35044.655997616479</v>
      </c>
      <c r="F4" s="1" t="s">
        <v>85</v>
      </c>
      <c r="G4" s="1" t="s">
        <v>90</v>
      </c>
    </row>
    <row r="5" spans="1:7" x14ac:dyDescent="0.3">
      <c r="A5" s="1" t="s">
        <v>80</v>
      </c>
      <c r="B5" s="10">
        <v>51783</v>
      </c>
      <c r="C5" s="1">
        <f>1/(1+11.36%)^4</f>
        <v>0.65025411756594953</v>
      </c>
      <c r="D5" s="10">
        <f t="shared" si="0"/>
        <v>33672.108969917565</v>
      </c>
      <c r="F5" s="1" t="s">
        <v>86</v>
      </c>
      <c r="G5" s="1" t="s">
        <v>91</v>
      </c>
    </row>
    <row r="6" spans="1:7" x14ac:dyDescent="0.3">
      <c r="A6" s="1" t="s">
        <v>81</v>
      </c>
      <c r="B6" s="10">
        <v>54891</v>
      </c>
      <c r="C6" s="1">
        <f>1/(1+11.36%)^5</f>
        <v>0.58392072338896339</v>
      </c>
      <c r="D6" s="10">
        <f t="shared" si="0"/>
        <v>32051.992427543588</v>
      </c>
      <c r="F6" s="1" t="s">
        <v>87</v>
      </c>
      <c r="G6" s="1" t="s">
        <v>92</v>
      </c>
    </row>
    <row r="7" spans="1:7" x14ac:dyDescent="0.3">
      <c r="A7" s="1" t="s">
        <v>82</v>
      </c>
      <c r="B7" s="10">
        <v>906203</v>
      </c>
      <c r="C7" s="1">
        <f>1/(1+11.36%)^5</f>
        <v>0.58392072338896339</v>
      </c>
      <c r="D7" s="10">
        <f t="shared" si="0"/>
        <v>529150.71129724884</v>
      </c>
      <c r="F7" s="1" t="s">
        <v>88</v>
      </c>
      <c r="G7" s="1" t="s">
        <v>93</v>
      </c>
    </row>
    <row r="8" spans="1:7" x14ac:dyDescent="0.3">
      <c r="A8" s="4" t="s">
        <v>83</v>
      </c>
      <c r="B8" s="1"/>
      <c r="C8" s="1"/>
      <c r="D8" s="10">
        <f>SUM(D2:D7)</f>
        <v>702971.5187381549</v>
      </c>
      <c r="F8" s="1" t="s">
        <v>94</v>
      </c>
      <c r="G8" s="1" t="s">
        <v>97</v>
      </c>
    </row>
    <row r="9" spans="1:7" x14ac:dyDescent="0.3">
      <c r="F9" s="1" t="s">
        <v>95</v>
      </c>
      <c r="G9" s="1" t="s">
        <v>98</v>
      </c>
    </row>
    <row r="10" spans="1:7" x14ac:dyDescent="0.3">
      <c r="A10" s="1" t="s">
        <v>88</v>
      </c>
      <c r="B10" s="10">
        <v>702971.52</v>
      </c>
      <c r="F10" s="1" t="s">
        <v>96</v>
      </c>
      <c r="G10" s="1" t="s">
        <v>99</v>
      </c>
    </row>
    <row r="11" spans="1:7" x14ac:dyDescent="0.3">
      <c r="A11" s="1" t="s">
        <v>94</v>
      </c>
      <c r="B11" s="10">
        <v>9176</v>
      </c>
    </row>
    <row r="12" spans="1:7" x14ac:dyDescent="0.3">
      <c r="A12" s="1" t="s">
        <v>95</v>
      </c>
      <c r="B12" s="10">
        <v>22201</v>
      </c>
    </row>
    <row r="13" spans="1:7" x14ac:dyDescent="0.3">
      <c r="A13" s="4" t="s">
        <v>96</v>
      </c>
      <c r="B13" s="11">
        <f>B10-B11+B12</f>
        <v>715996.52</v>
      </c>
    </row>
    <row r="15" spans="1:7" x14ac:dyDescent="0.3">
      <c r="A15" s="1" t="s">
        <v>100</v>
      </c>
      <c r="B15" s="10">
        <v>458547</v>
      </c>
    </row>
    <row r="16" spans="1:7" x14ac:dyDescent="0.3">
      <c r="A16" s="1" t="s">
        <v>101</v>
      </c>
      <c r="B16" s="10">
        <v>1130</v>
      </c>
    </row>
    <row r="17" spans="1:2" x14ac:dyDescent="0.3">
      <c r="A17" s="4" t="s">
        <v>102</v>
      </c>
      <c r="B17" s="12">
        <f>B15/B16</f>
        <v>405.79380530973452</v>
      </c>
    </row>
    <row r="18" spans="1:2" x14ac:dyDescent="0.3">
      <c r="A18" s="4" t="s">
        <v>103</v>
      </c>
      <c r="B18" s="13">
        <f>B13/B17</f>
        <v>1764.4343275607516</v>
      </c>
    </row>
  </sheetData>
  <mergeCells count="1">
    <mergeCell ref="F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08E5-E3AA-41B5-AAC6-0B6E2357803D}">
  <dimension ref="A1:J9"/>
  <sheetViews>
    <sheetView workbookViewId="0">
      <selection activeCell="F2" sqref="F2:F6"/>
    </sheetView>
  </sheetViews>
  <sheetFormatPr defaultRowHeight="14.4" x14ac:dyDescent="0.3"/>
  <cols>
    <col min="1" max="1" width="25.109375" bestFit="1" customWidth="1"/>
    <col min="5" max="5" width="9.44140625" bestFit="1" customWidth="1"/>
    <col min="9" max="9" width="16.44140625" bestFit="1" customWidth="1"/>
  </cols>
  <sheetData>
    <row r="1" spans="1:10" ht="13.8" customHeight="1" x14ac:dyDescent="0.3">
      <c r="A1" s="5" t="s">
        <v>104</v>
      </c>
      <c r="B1" s="7">
        <v>0.04</v>
      </c>
      <c r="C1" s="7">
        <v>4.4999999999999998E-2</v>
      </c>
      <c r="D1" s="7">
        <v>0.05</v>
      </c>
      <c r="E1" s="7">
        <v>5.5E-2</v>
      </c>
      <c r="F1" s="7">
        <v>0.06</v>
      </c>
      <c r="H1" s="3" t="s">
        <v>105</v>
      </c>
      <c r="I1" s="3" t="s">
        <v>106</v>
      </c>
      <c r="J1" s="3" t="s">
        <v>44</v>
      </c>
    </row>
    <row r="2" spans="1:10" x14ac:dyDescent="0.3">
      <c r="A2" s="7">
        <v>0.1036</v>
      </c>
      <c r="B2" s="1">
        <f>((NPV($A2,$J$2:$J$6)+(($J$6*(1+B$1))/($A2-B$1))/(1+$A2)^5)-$J$7+$J$8)/$J$9</f>
        <v>1823.1502273992378</v>
      </c>
      <c r="C2" s="1">
        <f t="shared" ref="C2:F6" si="0">((NPV($A2,$J$2:$J$6)+(($J$6*(1+C$1))/($A2-C$1))/(1+$A2)^5)-$J$7+$J$8)/$J$9</f>
        <v>1945.4901799869328</v>
      </c>
      <c r="D2" s="1">
        <f t="shared" si="0"/>
        <v>2090.654750594721</v>
      </c>
      <c r="E2" s="1">
        <f t="shared" si="0"/>
        <v>2265.6885744139872</v>
      </c>
      <c r="F2" s="1">
        <f t="shared" si="0"/>
        <v>2480.8677706688654</v>
      </c>
      <c r="H2" s="1">
        <v>2</v>
      </c>
      <c r="I2" s="1" t="s">
        <v>107</v>
      </c>
      <c r="J2" s="1">
        <v>41111</v>
      </c>
    </row>
    <row r="3" spans="1:10" x14ac:dyDescent="0.3">
      <c r="A3" s="7">
        <v>0.1086</v>
      </c>
      <c r="B3" s="1">
        <f t="shared" ref="B3:B6" si="1">((NPV($A3,$J$2:$J$6)+(($J$6*(1+B$1))/($A3-B$1))/(1+$A3)^5)-$J$7+$J$8)/$J$9</f>
        <v>1690.8571451095436</v>
      </c>
      <c r="C3" s="1">
        <f t="shared" si="0"/>
        <v>1793.4906306777227</v>
      </c>
      <c r="D3" s="1">
        <f t="shared" si="0"/>
        <v>1913.6383629298921</v>
      </c>
      <c r="E3" s="1">
        <f t="shared" si="0"/>
        <v>2056.2017168708981</v>
      </c>
      <c r="F3" s="1">
        <f t="shared" si="0"/>
        <v>2228.0990942565563</v>
      </c>
      <c r="H3" s="1">
        <v>3</v>
      </c>
      <c r="I3" s="1" t="s">
        <v>108</v>
      </c>
      <c r="J3" s="1">
        <v>44811</v>
      </c>
    </row>
    <row r="4" spans="1:10" x14ac:dyDescent="0.3">
      <c r="A4" s="7">
        <v>0.11360000000000001</v>
      </c>
      <c r="B4" s="1">
        <f t="shared" si="1"/>
        <v>1576.5652088296372</v>
      </c>
      <c r="C4" s="1">
        <f t="shared" si="0"/>
        <v>1663.6717938319932</v>
      </c>
      <c r="D4" s="1">
        <f t="shared" si="0"/>
        <v>1764.4743827655375</v>
      </c>
      <c r="E4" s="1">
        <f t="shared" si="0"/>
        <v>1882.4787786843281</v>
      </c>
      <c r="F4" s="1">
        <f t="shared" si="0"/>
        <v>2022.4989201103563</v>
      </c>
      <c r="H4" s="1">
        <v>4</v>
      </c>
      <c r="I4" s="1" t="s">
        <v>109</v>
      </c>
      <c r="J4" s="1">
        <v>48396</v>
      </c>
    </row>
    <row r="5" spans="1:10" x14ac:dyDescent="0.3">
      <c r="A5" s="7">
        <v>0.1186</v>
      </c>
      <c r="B5" s="1">
        <f t="shared" si="1"/>
        <v>1476.8385394480968</v>
      </c>
      <c r="C5" s="1">
        <f t="shared" si="0"/>
        <v>1551.5126720095459</v>
      </c>
      <c r="D5" s="1">
        <f t="shared" si="0"/>
        <v>1637.0722466353466</v>
      </c>
      <c r="E5" s="1">
        <f t="shared" si="0"/>
        <v>1736.0845845670908</v>
      </c>
      <c r="F5" s="1">
        <f t="shared" si="0"/>
        <v>1851.9932259001559</v>
      </c>
      <c r="H5" s="1">
        <v>5</v>
      </c>
      <c r="I5" s="1" t="s">
        <v>110</v>
      </c>
      <c r="J5" s="1">
        <v>51783</v>
      </c>
    </row>
    <row r="6" spans="1:10" x14ac:dyDescent="0.3">
      <c r="A6" s="7">
        <v>0.1236</v>
      </c>
      <c r="B6" s="1">
        <f t="shared" si="1"/>
        <v>1389.0632524293599</v>
      </c>
      <c r="C6" s="1">
        <f t="shared" si="0"/>
        <v>1453.6426606722407</v>
      </c>
      <c r="D6" s="1">
        <f t="shared" si="0"/>
        <v>1526.996445035079</v>
      </c>
      <c r="E6" s="1">
        <f t="shared" si="0"/>
        <v>1611.0432008793798</v>
      </c>
      <c r="F6" s="1">
        <f t="shared" si="0"/>
        <v>1708.3048554413381</v>
      </c>
      <c r="H6" s="1">
        <v>6</v>
      </c>
      <c r="I6" s="1" t="s">
        <v>69</v>
      </c>
      <c r="J6" s="1">
        <v>54891</v>
      </c>
    </row>
    <row r="7" spans="1:10" x14ac:dyDescent="0.3">
      <c r="A7" s="14"/>
      <c r="H7" s="1">
        <v>7</v>
      </c>
      <c r="I7" s="1" t="s">
        <v>111</v>
      </c>
      <c r="J7" s="1">
        <v>9176</v>
      </c>
    </row>
    <row r="8" spans="1:10" x14ac:dyDescent="0.3">
      <c r="A8" s="14"/>
      <c r="H8" s="1">
        <v>8</v>
      </c>
      <c r="I8" s="1" t="s">
        <v>112</v>
      </c>
      <c r="J8" s="1">
        <v>22201</v>
      </c>
    </row>
    <row r="9" spans="1:10" x14ac:dyDescent="0.3">
      <c r="H9" s="1">
        <v>9</v>
      </c>
      <c r="I9" s="1" t="s">
        <v>113</v>
      </c>
      <c r="J9" s="1">
        <v>405.79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Historical Financials</vt:lpstr>
      <vt:lpstr>Projections</vt:lpstr>
      <vt:lpstr>FCFF Calculation</vt:lpstr>
      <vt:lpstr>WACC</vt:lpstr>
      <vt:lpstr>Terminal Value</vt:lpstr>
      <vt:lpstr>DCF Valuation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Simran Sarwardi</dc:creator>
  <cp:lastModifiedBy>Syeda Simran Sarwardi</cp:lastModifiedBy>
  <dcterms:created xsi:type="dcterms:W3CDTF">2026-07-31T13:56:48Z</dcterms:created>
  <dcterms:modified xsi:type="dcterms:W3CDTF">2026-08-07T16:15:39Z</dcterms:modified>
</cp:coreProperties>
</file>